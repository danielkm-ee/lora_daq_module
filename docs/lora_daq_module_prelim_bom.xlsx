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lim BOM (NOT READY TO ORDER!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<sst xmlns="http://schemas.openxmlformats.org/spreadsheetml/2006/main" count="246" uniqueCount="184">
  <si>
    <t xml:space="preserve">Bill Of Materials for: Team 14</t>
  </si>
  <si>
    <t xml:space="preserve">Last modified: Nov. 14th 2025</t>
  </si>
  <si>
    <t xml:space="preserve">PCB version: rev1.0</t>
  </si>
  <si>
    <t xml:space="preserve">BOM revision: r0</t>
  </si>
  <si>
    <t xml:space="preserve">Qty</t>
  </si>
  <si>
    <t xml:space="preserve">Reference Designators</t>
  </si>
  <si>
    <t xml:space="preserve">Mfr</t>
  </si>
  <si>
    <t xml:space="preserve">Mfr Part Number</t>
  </si>
  <si>
    <t xml:space="preserve">Description</t>
  </si>
  <si>
    <t xml:space="preserve">Dist</t>
  </si>
  <si>
    <t xml:space="preserve">Dist Part Number</t>
  </si>
  <si>
    <t xml:space="preserve">Cost Ea.</t>
  </si>
  <si>
    <t xml:space="preserve">Cost Total</t>
  </si>
  <si>
    <t xml:space="preserve">C18</t>
  </si>
  <si>
    <t xml:space="preserve">Samsung Electro-Mechanics</t>
  </si>
  <si>
    <t xml:space="preserve">CL31A106KBHNNNE</t>
  </si>
  <si>
    <t xml:space="preserve">CAP CER 10UF 50V X5R 1206</t>
  </si>
  <si>
    <t xml:space="preserve">Digi-Key</t>
  </si>
  <si>
    <t xml:space="preserve">1276-2876-1-ND</t>
  </si>
  <si>
    <t xml:space="preserve">C19</t>
  </si>
  <si>
    <t xml:space="preserve">TDK Corporation</t>
  </si>
  <si>
    <t xml:space="preserve">C3216JB1C336M160AB</t>
  </si>
  <si>
    <t xml:space="preserve">CAP CER 33UF 16V JB 1206</t>
  </si>
  <si>
    <t xml:space="preserve">445-11694-1-ND</t>
  </si>
  <si>
    <t xml:space="preserve">C1,C6,C7,C9,C12</t>
  </si>
  <si>
    <t xml:space="preserve">YAGEO</t>
  </si>
  <si>
    <t xml:space="preserve">CC0603KRX7R7BB104</t>
  </si>
  <si>
    <t xml:space="preserve">CAP CER 0.1UF 16V X7R 0603</t>
  </si>
  <si>
    <t xml:space="preserve">311-1088-1-ND</t>
  </si>
  <si>
    <t xml:space="preserve">C11,C13</t>
  </si>
  <si>
    <t xml:space="preserve">Murata Electronics</t>
  </si>
  <si>
    <t xml:space="preserve">GCM188R72A103KA37D</t>
  </si>
  <si>
    <t xml:space="preserve">CAP CER 10000PF 100V X7R 0603</t>
  </si>
  <si>
    <t xml:space="preserve">490-4781-1-ND</t>
  </si>
  <si>
    <t xml:space="preserve">C2,C14</t>
  </si>
  <si>
    <t xml:space="preserve">CC0603KRX7R8BB473</t>
  </si>
  <si>
    <t xml:space="preserve">CAP CER 0.047UF 25V X7R 0603</t>
  </si>
  <si>
    <t xml:space="preserve">311-1373-1-ND</t>
  </si>
  <si>
    <t xml:space="preserve">C5,C10,C15,C16,C17,C20,C21</t>
  </si>
  <si>
    <t xml:space="preserve">GCM188R71C105KA64D</t>
  </si>
  <si>
    <t xml:space="preserve">CAP CER 1UF 16V X7R 0603</t>
  </si>
  <si>
    <t xml:space="preserve">490-5241-1-ND</t>
  </si>
  <si>
    <t xml:space="preserve">D3</t>
  </si>
  <si>
    <t xml:space="preserve">Littelfuse Inc.</t>
  </si>
  <si>
    <t xml:space="preserve">SP0503BAHTG</t>
  </si>
  <si>
    <t xml:space="preserve">TVS DIODE 5.5VWM 8.5VC SOT1434</t>
  </si>
  <si>
    <t xml:space="preserve">F2715CT-ND</t>
  </si>
  <si>
    <t xml:space="preserve">D4</t>
  </si>
  <si>
    <t xml:space="preserve">Lite-On Inc.</t>
  </si>
  <si>
    <t xml:space="preserve">LTST-C191KGKT</t>
  </si>
  <si>
    <t xml:space="preserve">LED GREEN CLEAR SMD</t>
  </si>
  <si>
    <t xml:space="preserve">160-1446-1-ND</t>
  </si>
  <si>
    <t xml:space="preserve">D5</t>
  </si>
  <si>
    <t xml:space="preserve">LTST-C191KSKT</t>
  </si>
  <si>
    <t xml:space="preserve">LED YELLOW CLEAR SMD</t>
  </si>
  <si>
    <t xml:space="preserve">160-1448-1-ND</t>
  </si>
  <si>
    <t xml:space="preserve">D6</t>
  </si>
  <si>
    <t xml:space="preserve">LTST-C190KRKT</t>
  </si>
  <si>
    <t xml:space="preserve">LED RED CLEAR CHIP SMD</t>
  </si>
  <si>
    <t xml:space="preserve">160-1436-1-ND</t>
  </si>
  <si>
    <t xml:space="preserve">D7</t>
  </si>
  <si>
    <t xml:space="preserve">Diotec Semiconductor</t>
  </si>
  <si>
    <t xml:space="preserve">BAS40-04</t>
  </si>
  <si>
    <t xml:space="preserve">DIODE ARR SCHOTT 40V 200MA SOT23</t>
  </si>
  <si>
    <t xml:space="preserve">4878-BAS40-04CT-ND</t>
  </si>
  <si>
    <t xml:space="preserve">J1</t>
  </si>
  <si>
    <t xml:space="preserve">JST Sales America Inc.</t>
  </si>
  <si>
    <t xml:space="preserve">B3B-EH-A</t>
  </si>
  <si>
    <t xml:space="preserve">CONN HEADER VERT 3POS 2.5MM</t>
  </si>
  <si>
    <t xml:space="preserve">455-B3B-EH-A-ND</t>
  </si>
  <si>
    <t xml:space="preserve">J2</t>
  </si>
  <si>
    <t xml:space="preserve">Molex</t>
  </si>
  <si>
    <t xml:space="preserve">SMA JACK EDGE MOUNT 50 OHM</t>
  </si>
  <si>
    <t xml:space="preserve">900-0732511153-ND</t>
  </si>
  <si>
    <t xml:space="preserve">J3</t>
  </si>
  <si>
    <t xml:space="preserve">CONN RCP USB3.1 TYPEC 24P SMD RA</t>
  </si>
  <si>
    <t xml:space="preserve">WM12856CT-ND</t>
  </si>
  <si>
    <t xml:space="preserve">J4</t>
  </si>
  <si>
    <t xml:space="preserve">J5</t>
  </si>
  <si>
    <t xml:space="preserve">Würth Elektronik</t>
  </si>
  <si>
    <t xml:space="preserve">CONN HEADER VERT 6POS 2.54MM</t>
  </si>
  <si>
    <t xml:space="preserve">732-5295-ND</t>
  </si>
  <si>
    <t xml:space="preserve">J6</t>
  </si>
  <si>
    <t xml:space="preserve">CONN MICRO SD CARD R/A SMD</t>
  </si>
  <si>
    <t xml:space="preserve">WM6357CT-ND</t>
  </si>
  <si>
    <t xml:space="preserve">J7</t>
  </si>
  <si>
    <t xml:space="preserve">CONN HEADER VERT 2POS 2.54MM</t>
  </si>
  <si>
    <t xml:space="preserve">732-5315-ND</t>
  </si>
  <si>
    <t xml:space="preserve">L1</t>
  </si>
  <si>
    <t xml:space="preserve">Vishay Dale</t>
  </si>
  <si>
    <t xml:space="preserve">TNPW120650R0BEEN</t>
  </si>
  <si>
    <t xml:space="preserve">RES 50 OHM 0.1% 0.52W 1206</t>
  </si>
  <si>
    <t xml:space="preserve">541-TNPW120650R0BEENCT-ND</t>
  </si>
  <si>
    <t xml:space="preserve">L2</t>
  </si>
  <si>
    <t xml:space="preserve">Coilcraft</t>
  </si>
  <si>
    <t xml:space="preserve">LPS3015-332MRC</t>
  </si>
  <si>
    <t xml:space="preserve">FIXED IND 3.3UH 1.4A 130MOHM SMD</t>
  </si>
  <si>
    <t xml:space="preserve">2457-LPS3015-332MRC-ND</t>
  </si>
  <si>
    <t xml:space="preserve">R1</t>
  </si>
  <si>
    <t xml:space="preserve">RC0603FR-0747KL</t>
  </si>
  <si>
    <t xml:space="preserve">RES 47K OHM 1% 1/10W 0603</t>
  </si>
  <si>
    <t xml:space="preserve">311-47.0KHRCT-ND</t>
  </si>
  <si>
    <t xml:space="preserve">R2</t>
  </si>
  <si>
    <t xml:space="preserve">Stackpole Electronics Inc</t>
  </si>
  <si>
    <t xml:space="preserve">RMCF0603FT220K</t>
  </si>
  <si>
    <t xml:space="preserve">RES 220K OHM 1% 1/10W 0603</t>
  </si>
  <si>
    <t xml:space="preserve">RMCF0603FT220KCT-ND</t>
  </si>
  <si>
    <t xml:space="preserve">R10</t>
  </si>
  <si>
    <t xml:space="preserve">RC0603FR-07680KL</t>
  </si>
  <si>
    <t xml:space="preserve">RES 680K OHM 1% 1/10W 0603</t>
  </si>
  <si>
    <t xml:space="preserve">311-680KHRCT-ND</t>
  </si>
  <si>
    <t xml:space="preserve">R11</t>
  </si>
  <si>
    <t xml:space="preserve">RMCF0603FT470K</t>
  </si>
  <si>
    <t xml:space="preserve">RES 470K OHM 1% 1/10W 0603</t>
  </si>
  <si>
    <t xml:space="preserve">RMCF0603FT470KCT-ND</t>
  </si>
  <si>
    <t xml:space="preserve">R17</t>
  </si>
  <si>
    <t xml:space="preserve">NCU18XH103F60RB</t>
  </si>
  <si>
    <t xml:space="preserve">THERMISTOR NTC 10KOHM 3380K 0603</t>
  </si>
  <si>
    <t xml:space="preserve">490-16279-1-ND</t>
  </si>
  <si>
    <t xml:space="preserve">R18</t>
  </si>
  <si>
    <t xml:space="preserve">RMCF0603FT150K</t>
  </si>
  <si>
    <t xml:space="preserve">RES 150K OHM 1% 1/10W 0603</t>
  </si>
  <si>
    <t xml:space="preserve">RMCF0603FT150KCT-ND</t>
  </si>
  <si>
    <t xml:space="preserve">R13,R14,R15</t>
  </si>
  <si>
    <t xml:space="preserve">RC0603JR-07470RL</t>
  </si>
  <si>
    <t xml:space="preserve">RES 470 OHM 5% 1/10W 0603</t>
  </si>
  <si>
    <t xml:space="preserve">311-470GRCT-ND</t>
  </si>
  <si>
    <t xml:space="preserve">R3,R16,R19</t>
  </si>
  <si>
    <t xml:space="preserve">RMCF0603FT1K00</t>
  </si>
  <si>
    <t xml:space="preserve">RES 1K OHM 1% 1/10W 0603</t>
  </si>
  <si>
    <t xml:space="preserve">RMCF0603FT1K00CT-ND</t>
  </si>
  <si>
    <t xml:space="preserve">R4,R5</t>
  </si>
  <si>
    <t xml:space="preserve">RC0603FR-075K1L</t>
  </si>
  <si>
    <t xml:space="preserve">RES 5.1K OHM 1% 1/10W 0603</t>
  </si>
  <si>
    <t xml:space="preserve">311-5.10KHRCT-ND</t>
  </si>
  <si>
    <t xml:space="preserve">R6,R7,R8,R9,R12</t>
  </si>
  <si>
    <t xml:space="preserve">RC0603JR-074K7L</t>
  </si>
  <si>
    <t xml:space="preserve">RES 4.7K OHM 5% 1/10W 0603</t>
  </si>
  <si>
    <t xml:space="preserve">311-4.7KGRCT-ND</t>
  </si>
  <si>
    <t xml:space="preserve">U1</t>
  </si>
  <si>
    <t xml:space="preserve">Texas Instruments</t>
  </si>
  <si>
    <t xml:space="preserve">OPA333AIDCKR</t>
  </si>
  <si>
    <t xml:space="preserve">IC OPAMP ZERO-DRIFT 1CIRC SC70-5</t>
  </si>
  <si>
    <t xml:space="preserve">296-19547-1-ND</t>
  </si>
  <si>
    <t xml:space="preserve">U2</t>
  </si>
  <si>
    <t xml:space="preserve">ADS1110A0IDBVR</t>
  </si>
  <si>
    <t xml:space="preserve">IC ADC 16BIT SIGMA-DELTA SOT23-6</t>
  </si>
  <si>
    <t xml:space="preserve">296-25890-1-ND</t>
  </si>
  <si>
    <t xml:space="preserve">U3</t>
  </si>
  <si>
    <t xml:space="preserve">Silicon Labs</t>
  </si>
  <si>
    <t xml:space="preserve">CP2102N-A02-GQFN20R</t>
  </si>
  <si>
    <t xml:space="preserve">IC USB TO UART BRIDGE QFN20</t>
  </si>
  <si>
    <t xml:space="preserve">336-5886-1-ND</t>
  </si>
  <si>
    <t xml:space="preserve">U4</t>
  </si>
  <si>
    <t xml:space="preserve">Seeed Technology Co., Ltd</t>
  </si>
  <si>
    <t xml:space="preserve">RF TXRX MOD ISM&lt;1GHZ SMD LORA</t>
  </si>
  <si>
    <t xml:space="preserve">1597-317990829CT-ND</t>
  </si>
  <si>
    <t xml:space="preserve">U5</t>
  </si>
  <si>
    <t xml:space="preserve">onsemi</t>
  </si>
  <si>
    <t xml:space="preserve">CAT24C256WI-GT3</t>
  </si>
  <si>
    <t xml:space="preserve">IC EEPROM 256KBIT I2C 1MHZ 8SOIC</t>
  </si>
  <si>
    <t xml:space="preserve">CAT24C256WI-GT3OSCT-ND</t>
  </si>
  <si>
    <t xml:space="preserve">U6</t>
  </si>
  <si>
    <t xml:space="preserve">Microchip Technology</t>
  </si>
  <si>
    <t xml:space="preserve">MCP1700T-3302E/TT</t>
  </si>
  <si>
    <t xml:space="preserve">IC REG LINEAR 3.3V 250MA SOT23-3</t>
  </si>
  <si>
    <t xml:space="preserve">MCP1700T3302ETTCT-ND</t>
  </si>
  <si>
    <t xml:space="preserve">U7</t>
  </si>
  <si>
    <t xml:space="preserve">TPS2116DRLR</t>
  </si>
  <si>
    <t xml:space="preserve">1.6-V TO 5.5-V, 40-M, 2.5-A, LOW</t>
  </si>
  <si>
    <t xml:space="preserve">296-TPS2116DRLRCT-ND</t>
  </si>
  <si>
    <t xml:space="preserve">U8</t>
  </si>
  <si>
    <t xml:space="preserve">TPS63002DRCR</t>
  </si>
  <si>
    <t xml:space="preserve">IC REG BUCK BOOST 5V 1.6A 10VSON</t>
  </si>
  <si>
    <t xml:space="preserve">296-19644-1-ND</t>
  </si>
  <si>
    <t xml:space="preserve">U9</t>
  </si>
  <si>
    <t xml:space="preserve">MCP73833T-AMI/UN</t>
  </si>
  <si>
    <t xml:space="preserve">IC BATT CNTRL LI-ION 1CEL 10MSOP</t>
  </si>
  <si>
    <t xml:space="preserve">MCP73833T-AMI/UNCT-ND</t>
  </si>
  <si>
    <t xml:space="preserve">TOTAL</t>
  </si>
  <si>
    <t xml:space="preserve">VERSION INFO</t>
  </si>
  <si>
    <t xml:space="preserve">Rev</t>
  </si>
  <si>
    <t xml:space="preserve">Date</t>
  </si>
  <si>
    <t xml:space="preserve">1.0r0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</si>
</sst>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.00"/>
    <numFmt numFmtId="167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22.63"/>
    <col collapsed="false" customWidth="true" hidden="false" outlineLevel="0" max="3" min="3" style="0" width="23.25"/>
    <col collapsed="false" customWidth="true" hidden="false" outlineLevel="0" max="4" min="4" style="0" width="23"/>
    <col collapsed="false" customWidth="true" hidden="false" outlineLevel="0" max="5" min="5" style="0" width="32.63"/>
    <col collapsed="false" customWidth="true" hidden="false" outlineLevel="0" max="6" min="6" style="0" width="13.87"/>
    <col collapsed="false" customWidth="true" hidden="false" outlineLevel="0" max="7" min="7" style="0" width="18.26"/>
    <col collapsed="false" customWidth="true" hidden="false" outlineLevel="0" max="8" min="8" style="0" width="10.13"/>
    <col collapsed="false" customWidth="true" hidden="false" outlineLevel="0" max="9" min="9" style="0" width="11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</row>
    <row r="2" customFormat="false" ht="15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4"/>
      <c r="I2" s="4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4"/>
      <c r="I3" s="4"/>
    </row>
    <row r="4" customFormat="false" ht="15.7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4"/>
      <c r="I4" s="4"/>
    </row>
    <row r="6" customFormat="false" ht="15.7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  <c r="I6" s="6" t="s">
        <v>12</v>
      </c>
    </row>
    <row r="7" customFormat="false" ht="15.75" hidden="false" customHeight="false" outlineLevel="0" collapsed="false">
      <c r="A7" s="7" t="n">
        <v>1</v>
      </c>
      <c r="B7" s="7" t="s">
        <v>13</v>
      </c>
      <c r="C7" s="7" t="s">
        <v>14</v>
      </c>
      <c r="D7" s="8" t="s">
        <v>15</v>
      </c>
      <c r="E7" s="7" t="s">
        <v>16</v>
      </c>
      <c r="F7" s="7" t="s">
        <v>17</v>
      </c>
      <c r="G7" s="7" t="s">
        <v>18</v>
      </c>
      <c r="H7" s="9" t="n">
        <v>0.09</v>
      </c>
      <c r="I7" s="10" t="n">
        <v>0.09</v>
      </c>
    </row>
    <row r="8" customFormat="false" ht="15.75" hidden="false" customHeight="false" outlineLevel="0" collapsed="false">
      <c r="A8" s="7" t="n">
        <v>1</v>
      </c>
      <c r="B8" s="7" t="s">
        <v>19</v>
      </c>
      <c r="C8" s="7" t="s">
        <v>20</v>
      </c>
      <c r="D8" s="8" t="s">
        <v>21</v>
      </c>
      <c r="E8" s="7" t="s">
        <v>22</v>
      </c>
      <c r="F8" s="7" t="s">
        <v>17</v>
      </c>
      <c r="G8" s="7" t="s">
        <v>23</v>
      </c>
      <c r="H8" s="9" t="n">
        <v>1.05</v>
      </c>
      <c r="I8" s="10" t="n">
        <v>1.05</v>
      </c>
    </row>
    <row r="9" customFormat="false" ht="15.75" hidden="false" customHeight="false" outlineLevel="0" collapsed="false">
      <c r="A9" s="7" t="n">
        <v>5</v>
      </c>
      <c r="B9" s="7" t="s">
        <v>24</v>
      </c>
      <c r="C9" s="7" t="s">
        <v>25</v>
      </c>
      <c r="D9" s="8" t="s">
        <v>26</v>
      </c>
      <c r="E9" s="7" t="s">
        <v>27</v>
      </c>
      <c r="F9" s="7" t="s">
        <v>17</v>
      </c>
      <c r="G9" s="7" t="s">
        <v>28</v>
      </c>
      <c r="H9" s="9" t="n">
        <v>0.08</v>
      </c>
      <c r="I9" s="10" t="n">
        <v>0.4</v>
      </c>
    </row>
    <row r="10" customFormat="false" ht="15.75" hidden="false" customHeight="false" outlineLevel="0" collapsed="false">
      <c r="A10" s="7" t="n">
        <v>2</v>
      </c>
      <c r="B10" s="7" t="s">
        <v>29</v>
      </c>
      <c r="C10" s="7" t="s">
        <v>30</v>
      </c>
      <c r="D10" s="8" t="s">
        <v>31</v>
      </c>
      <c r="E10" s="7" t="s">
        <v>32</v>
      </c>
      <c r="F10" s="7" t="s">
        <v>17</v>
      </c>
      <c r="G10" s="7" t="s">
        <v>33</v>
      </c>
      <c r="H10" s="9" t="n">
        <v>0.1</v>
      </c>
      <c r="I10" s="10" t="n">
        <v>0.2</v>
      </c>
    </row>
    <row r="11" customFormat="false" ht="15.75" hidden="false" customHeight="false" outlineLevel="0" collapsed="false">
      <c r="A11" s="7" t="n">
        <v>2</v>
      </c>
      <c r="B11" s="7" t="s">
        <v>34</v>
      </c>
      <c r="C11" s="7" t="s">
        <v>25</v>
      </c>
      <c r="D11" s="8" t="s">
        <v>35</v>
      </c>
      <c r="E11" s="7" t="s">
        <v>36</v>
      </c>
      <c r="F11" s="7" t="s">
        <v>17</v>
      </c>
      <c r="G11" s="7" t="s">
        <v>37</v>
      </c>
      <c r="H11" s="9" t="n">
        <v>0.1</v>
      </c>
      <c r="I11" s="10" t="n">
        <v>0.2</v>
      </c>
    </row>
    <row r="12" customFormat="false" ht="15.75" hidden="false" customHeight="false" outlineLevel="0" collapsed="false">
      <c r="A12" s="7" t="n">
        <v>7</v>
      </c>
      <c r="B12" s="7" t="s">
        <v>38</v>
      </c>
      <c r="C12" s="7" t="s">
        <v>30</v>
      </c>
      <c r="D12" s="8" t="s">
        <v>39</v>
      </c>
      <c r="E12" s="7" t="s">
        <v>40</v>
      </c>
      <c r="F12" s="7" t="s">
        <v>17</v>
      </c>
      <c r="G12" s="7" t="s">
        <v>41</v>
      </c>
      <c r="H12" s="9" t="n">
        <v>0.15</v>
      </c>
      <c r="I12" s="10" t="n">
        <v>1.05</v>
      </c>
    </row>
    <row r="13" customFormat="false" ht="15.75" hidden="false" customHeight="false" outlineLevel="0" collapsed="false">
      <c r="A13" s="7" t="n">
        <v>1</v>
      </c>
      <c r="B13" s="7" t="s">
        <v>42</v>
      </c>
      <c r="C13" s="7" t="s">
        <v>43</v>
      </c>
      <c r="D13" s="8" t="s">
        <v>44</v>
      </c>
      <c r="E13" s="7" t="s">
        <v>45</v>
      </c>
      <c r="F13" s="7" t="s">
        <v>17</v>
      </c>
      <c r="G13" s="7" t="s">
        <v>46</v>
      </c>
      <c r="H13" s="9" t="n">
        <v>0.6</v>
      </c>
      <c r="I13" s="10" t="n">
        <v>0.6</v>
      </c>
    </row>
    <row r="14" customFormat="false" ht="15.75" hidden="false" customHeight="false" outlineLevel="0" collapsed="false">
      <c r="A14" s="7" t="n">
        <v>1</v>
      </c>
      <c r="B14" s="7" t="s">
        <v>47</v>
      </c>
      <c r="C14" s="7" t="s">
        <v>48</v>
      </c>
      <c r="D14" s="8" t="s">
        <v>49</v>
      </c>
      <c r="E14" s="7" t="s">
        <v>50</v>
      </c>
      <c r="F14" s="7" t="s">
        <v>17</v>
      </c>
      <c r="G14" s="7" t="s">
        <v>51</v>
      </c>
      <c r="H14" s="9" t="n">
        <v>0.15</v>
      </c>
      <c r="I14" s="10" t="n">
        <v>0.15</v>
      </c>
    </row>
    <row r="15" customFormat="false" ht="15.75" hidden="false" customHeight="false" outlineLevel="0" collapsed="false">
      <c r="A15" s="7" t="n">
        <v>1</v>
      </c>
      <c r="B15" s="7" t="s">
        <v>52</v>
      </c>
      <c r="C15" s="7" t="s">
        <v>48</v>
      </c>
      <c r="D15" s="8" t="s">
        <v>53</v>
      </c>
      <c r="E15" s="7" t="s">
        <v>54</v>
      </c>
      <c r="F15" s="7" t="s">
        <v>17</v>
      </c>
      <c r="G15" s="7" t="s">
        <v>55</v>
      </c>
      <c r="H15" s="9" t="n">
        <v>0.15</v>
      </c>
      <c r="I15" s="10" t="n">
        <v>0.15</v>
      </c>
    </row>
    <row r="16" customFormat="false" ht="15.75" hidden="false" customHeight="false" outlineLevel="0" collapsed="false">
      <c r="A16" s="7" t="n">
        <v>1</v>
      </c>
      <c r="B16" s="7" t="s">
        <v>56</v>
      </c>
      <c r="C16" s="7" t="s">
        <v>48</v>
      </c>
      <c r="D16" s="8" t="s">
        <v>57</v>
      </c>
      <c r="E16" s="7" t="s">
        <v>58</v>
      </c>
      <c r="F16" s="7" t="s">
        <v>17</v>
      </c>
      <c r="G16" s="7" t="s">
        <v>59</v>
      </c>
      <c r="H16" s="9" t="n">
        <v>0.14</v>
      </c>
      <c r="I16" s="10" t="n">
        <v>0.14</v>
      </c>
    </row>
    <row r="17" customFormat="false" ht="15.75" hidden="false" customHeight="false" outlineLevel="0" collapsed="false">
      <c r="A17" s="7" t="n">
        <v>1</v>
      </c>
      <c r="B17" s="7" t="s">
        <v>60</v>
      </c>
      <c r="C17" s="7" t="s">
        <v>61</v>
      </c>
      <c r="D17" s="8" t="s">
        <v>62</v>
      </c>
      <c r="E17" s="7" t="s">
        <v>63</v>
      </c>
      <c r="F17" s="7" t="s">
        <v>17</v>
      </c>
      <c r="G17" s="7" t="s">
        <v>64</v>
      </c>
      <c r="H17" s="9" t="n">
        <v>0.12</v>
      </c>
      <c r="I17" s="10" t="n">
        <v>0.12</v>
      </c>
    </row>
    <row r="18" customFormat="false" ht="15.75" hidden="false" customHeight="false" outlineLevel="0" collapsed="false">
      <c r="A18" s="7" t="n">
        <v>1</v>
      </c>
      <c r="B18" s="7" t="s">
        <v>65</v>
      </c>
      <c r="C18" s="7" t="s">
        <v>66</v>
      </c>
      <c r="D18" s="8" t="s">
        <v>67</v>
      </c>
      <c r="E18" s="7" t="s">
        <v>68</v>
      </c>
      <c r="F18" s="7" t="s">
        <v>17</v>
      </c>
      <c r="G18" s="7" t="s">
        <v>69</v>
      </c>
      <c r="H18" s="9" t="n">
        <v>0.11</v>
      </c>
      <c r="I18" s="10" t="n">
        <v>0.11</v>
      </c>
    </row>
    <row r="19" customFormat="false" ht="15.75" hidden="false" customHeight="false" outlineLevel="0" collapsed="false">
      <c r="A19" s="7" t="n">
        <v>1</v>
      </c>
      <c r="B19" s="7" t="s">
        <v>70</v>
      </c>
      <c r="C19" s="7" t="s">
        <v>71</v>
      </c>
      <c r="D19" s="8" t="n">
        <v>732511153</v>
      </c>
      <c r="E19" s="7" t="s">
        <v>72</v>
      </c>
      <c r="F19" s="7" t="s">
        <v>17</v>
      </c>
      <c r="G19" s="7" t="s">
        <v>73</v>
      </c>
      <c r="H19" s="9" t="n">
        <v>3.83</v>
      </c>
      <c r="I19" s="10" t="n">
        <v>3.83</v>
      </c>
    </row>
    <row r="20" customFormat="false" ht="15.75" hidden="false" customHeight="false" outlineLevel="0" collapsed="false">
      <c r="A20" s="7" t="n">
        <v>1</v>
      </c>
      <c r="B20" s="7" t="s">
        <v>74</v>
      </c>
      <c r="C20" s="7" t="s">
        <v>71</v>
      </c>
      <c r="D20" s="8" t="n">
        <v>1054500101</v>
      </c>
      <c r="E20" s="7" t="s">
        <v>75</v>
      </c>
      <c r="F20" s="7" t="s">
        <v>17</v>
      </c>
      <c r="G20" s="7" t="s">
        <v>76</v>
      </c>
      <c r="H20" s="9" t="n">
        <v>2.4</v>
      </c>
      <c r="I20" s="10" t="n">
        <v>2.4</v>
      </c>
    </row>
    <row r="21" customFormat="false" ht="15.75" hidden="false" customHeight="false" outlineLevel="0" collapsed="false">
      <c r="A21" s="7" t="n">
        <v>1</v>
      </c>
      <c r="B21" s="7" t="s">
        <v>77</v>
      </c>
      <c r="C21" s="7" t="s">
        <v>66</v>
      </c>
      <c r="D21" s="8" t="s">
        <v>67</v>
      </c>
      <c r="E21" s="7" t="s">
        <v>68</v>
      </c>
      <c r="F21" s="7" t="s">
        <v>17</v>
      </c>
      <c r="G21" s="7" t="s">
        <v>69</v>
      </c>
      <c r="H21" s="9" t="n">
        <v>0.11</v>
      </c>
      <c r="I21" s="10" t="n">
        <v>0.11</v>
      </c>
    </row>
    <row r="22" customFormat="false" ht="15.75" hidden="false" customHeight="false" outlineLevel="0" collapsed="false">
      <c r="A22" s="7" t="n">
        <v>1</v>
      </c>
      <c r="B22" s="7" t="s">
        <v>78</v>
      </c>
      <c r="C22" s="7" t="s">
        <v>79</v>
      </c>
      <c r="D22" s="8" t="n">
        <v>61300621121</v>
      </c>
      <c r="E22" s="7" t="s">
        <v>80</v>
      </c>
      <c r="F22" s="7" t="s">
        <v>17</v>
      </c>
      <c r="G22" s="7" t="s">
        <v>81</v>
      </c>
      <c r="H22" s="9" t="n">
        <v>0.51</v>
      </c>
      <c r="I22" s="10" t="n">
        <v>0.51</v>
      </c>
    </row>
    <row r="23" customFormat="false" ht="15.75" hidden="false" customHeight="false" outlineLevel="0" collapsed="false">
      <c r="A23" s="7" t="n">
        <v>1</v>
      </c>
      <c r="B23" s="7" t="s">
        <v>82</v>
      </c>
      <c r="C23" s="7" t="s">
        <v>71</v>
      </c>
      <c r="D23" s="8" t="n">
        <v>1040310811</v>
      </c>
      <c r="E23" s="7" t="s">
        <v>83</v>
      </c>
      <c r="F23" s="7" t="s">
        <v>17</v>
      </c>
      <c r="G23" s="7" t="s">
        <v>84</v>
      </c>
      <c r="H23" s="9" t="n">
        <v>2.04</v>
      </c>
      <c r="I23" s="10" t="n">
        <v>2.04</v>
      </c>
    </row>
    <row r="24" customFormat="false" ht="15.75" hidden="false" customHeight="false" outlineLevel="0" collapsed="false">
      <c r="A24" s="7" t="n">
        <v>1</v>
      </c>
      <c r="B24" s="7" t="s">
        <v>85</v>
      </c>
      <c r="C24" s="7" t="s">
        <v>79</v>
      </c>
      <c r="D24" s="8" t="n">
        <v>61300211121</v>
      </c>
      <c r="E24" s="7" t="s">
        <v>86</v>
      </c>
      <c r="F24" s="7" t="s">
        <v>17</v>
      </c>
      <c r="G24" s="7" t="s">
        <v>87</v>
      </c>
      <c r="H24" s="9" t="n">
        <v>0.12</v>
      </c>
      <c r="I24" s="10" t="n">
        <v>0.12</v>
      </c>
    </row>
    <row r="25" customFormat="false" ht="15.75" hidden="false" customHeight="false" outlineLevel="0" collapsed="false">
      <c r="A25" s="7" t="n">
        <v>1</v>
      </c>
      <c r="B25" s="7" t="s">
        <v>88</v>
      </c>
      <c r="C25" s="7" t="s">
        <v>89</v>
      </c>
      <c r="D25" s="8" t="s">
        <v>90</v>
      </c>
      <c r="E25" s="7" t="s">
        <v>91</v>
      </c>
      <c r="F25" s="7" t="s">
        <v>17</v>
      </c>
      <c r="G25" s="7" t="s">
        <v>92</v>
      </c>
      <c r="H25" s="9" t="n">
        <v>0.62</v>
      </c>
      <c r="I25" s="10" t="n">
        <v>0.62</v>
      </c>
    </row>
    <row r="26" customFormat="false" ht="15.75" hidden="false" customHeight="false" outlineLevel="0" collapsed="false">
      <c r="A26" s="7" t="n">
        <v>1</v>
      </c>
      <c r="B26" s="7" t="s">
        <v>93</v>
      </c>
      <c r="C26" s="7" t="s">
        <v>94</v>
      </c>
      <c r="D26" s="8" t="s">
        <v>95</v>
      </c>
      <c r="E26" s="7" t="s">
        <v>96</v>
      </c>
      <c r="F26" s="7" t="s">
        <v>17</v>
      </c>
      <c r="G26" s="7" t="s">
        <v>97</v>
      </c>
      <c r="H26" s="9" t="n">
        <v>1.43</v>
      </c>
      <c r="I26" s="10" t="n">
        <v>1.43</v>
      </c>
    </row>
    <row r="27" customFormat="false" ht="15.75" hidden="false" customHeight="false" outlineLevel="0" collapsed="false">
      <c r="A27" s="7" t="n">
        <v>1</v>
      </c>
      <c r="B27" s="7" t="s">
        <v>98</v>
      </c>
      <c r="C27" s="7" t="s">
        <v>25</v>
      </c>
      <c r="D27" s="8" t="s">
        <v>99</v>
      </c>
      <c r="E27" s="7" t="s">
        <v>100</v>
      </c>
      <c r="F27" s="7" t="s">
        <v>17</v>
      </c>
      <c r="G27" s="7" t="s">
        <v>101</v>
      </c>
      <c r="H27" s="9" t="n">
        <v>0.1</v>
      </c>
      <c r="I27" s="10" t="n">
        <v>0.1</v>
      </c>
    </row>
    <row r="28" customFormat="false" ht="15.75" hidden="false" customHeight="false" outlineLevel="0" collapsed="false">
      <c r="A28" s="7" t="n">
        <v>1</v>
      </c>
      <c r="B28" s="7" t="s">
        <v>102</v>
      </c>
      <c r="C28" s="7" t="s">
        <v>103</v>
      </c>
      <c r="D28" s="8" t="s">
        <v>104</v>
      </c>
      <c r="E28" s="7" t="s">
        <v>105</v>
      </c>
      <c r="F28" s="7" t="s">
        <v>17</v>
      </c>
      <c r="G28" s="7" t="s">
        <v>106</v>
      </c>
      <c r="H28" s="9" t="n">
        <v>0.1</v>
      </c>
      <c r="I28" s="10" t="n">
        <v>0.1</v>
      </c>
    </row>
    <row r="29" customFormat="false" ht="15.75" hidden="false" customHeight="false" outlineLevel="0" collapsed="false">
      <c r="A29" s="7" t="n">
        <v>1</v>
      </c>
      <c r="B29" s="7" t="s">
        <v>107</v>
      </c>
      <c r="C29" s="7" t="s">
        <v>25</v>
      </c>
      <c r="D29" s="8" t="s">
        <v>108</v>
      </c>
      <c r="E29" s="7" t="s">
        <v>109</v>
      </c>
      <c r="F29" s="7" t="s">
        <v>17</v>
      </c>
      <c r="G29" s="7" t="s">
        <v>110</v>
      </c>
      <c r="H29" s="9" t="n">
        <v>0.1</v>
      </c>
      <c r="I29" s="10" t="n">
        <v>0.1</v>
      </c>
    </row>
    <row r="30" customFormat="false" ht="15.75" hidden="false" customHeight="false" outlineLevel="0" collapsed="false">
      <c r="A30" s="7" t="n">
        <v>1</v>
      </c>
      <c r="B30" s="7" t="s">
        <v>111</v>
      </c>
      <c r="C30" s="7" t="s">
        <v>103</v>
      </c>
      <c r="D30" s="8" t="s">
        <v>112</v>
      </c>
      <c r="E30" s="7" t="s">
        <v>113</v>
      </c>
      <c r="F30" s="7" t="s">
        <v>17</v>
      </c>
      <c r="G30" s="7" t="s">
        <v>114</v>
      </c>
      <c r="H30" s="9" t="n">
        <v>0.1</v>
      </c>
      <c r="I30" s="10" t="n">
        <v>0.1</v>
      </c>
    </row>
    <row r="31" customFormat="false" ht="15.75" hidden="false" customHeight="false" outlineLevel="0" collapsed="false">
      <c r="A31" s="7" t="n">
        <v>1</v>
      </c>
      <c r="B31" s="7" t="s">
        <v>115</v>
      </c>
      <c r="C31" s="7" t="s">
        <v>30</v>
      </c>
      <c r="D31" s="8" t="s">
        <v>116</v>
      </c>
      <c r="E31" s="7" t="s">
        <v>117</v>
      </c>
      <c r="F31" s="7" t="s">
        <v>17</v>
      </c>
      <c r="G31" s="7" t="s">
        <v>118</v>
      </c>
      <c r="H31" s="9" t="n">
        <v>0.14</v>
      </c>
      <c r="I31" s="10" t="n">
        <v>0.14</v>
      </c>
    </row>
    <row r="32" customFormat="false" ht="15.75" hidden="false" customHeight="false" outlineLevel="0" collapsed="false">
      <c r="A32" s="7" t="n">
        <v>1</v>
      </c>
      <c r="B32" s="7" t="s">
        <v>119</v>
      </c>
      <c r="C32" s="7" t="s">
        <v>103</v>
      </c>
      <c r="D32" s="8" t="s">
        <v>120</v>
      </c>
      <c r="E32" s="7" t="s">
        <v>121</v>
      </c>
      <c r="F32" s="7" t="s">
        <v>17</v>
      </c>
      <c r="G32" s="7" t="s">
        <v>122</v>
      </c>
      <c r="H32" s="9" t="n">
        <v>0.1</v>
      </c>
      <c r="I32" s="10" t="n">
        <v>0.1</v>
      </c>
    </row>
    <row r="33" customFormat="false" ht="15.75" hidden="false" customHeight="false" outlineLevel="0" collapsed="false">
      <c r="A33" s="7" t="n">
        <v>3</v>
      </c>
      <c r="B33" s="7" t="s">
        <v>123</v>
      </c>
      <c r="C33" s="7" t="s">
        <v>25</v>
      </c>
      <c r="D33" s="8" t="s">
        <v>124</v>
      </c>
      <c r="E33" s="7" t="s">
        <v>125</v>
      </c>
      <c r="F33" s="7" t="s">
        <v>17</v>
      </c>
      <c r="G33" s="7" t="s">
        <v>126</v>
      </c>
      <c r="H33" s="9" t="n">
        <v>0.1</v>
      </c>
      <c r="I33" s="10" t="n">
        <v>0.3</v>
      </c>
    </row>
    <row r="34" customFormat="false" ht="15.75" hidden="false" customHeight="false" outlineLevel="0" collapsed="false">
      <c r="A34" s="7" t="n">
        <v>3</v>
      </c>
      <c r="B34" s="7" t="s">
        <v>127</v>
      </c>
      <c r="C34" s="7" t="s">
        <v>103</v>
      </c>
      <c r="D34" s="8" t="s">
        <v>128</v>
      </c>
      <c r="E34" s="7" t="s">
        <v>129</v>
      </c>
      <c r="F34" s="7" t="s">
        <v>17</v>
      </c>
      <c r="G34" s="7" t="s">
        <v>130</v>
      </c>
      <c r="H34" s="9" t="n">
        <v>0.1</v>
      </c>
      <c r="I34" s="10" t="n">
        <v>0.3</v>
      </c>
    </row>
    <row r="35" customFormat="false" ht="15.75" hidden="false" customHeight="false" outlineLevel="0" collapsed="false">
      <c r="A35" s="7" t="n">
        <v>2</v>
      </c>
      <c r="B35" s="7" t="s">
        <v>131</v>
      </c>
      <c r="C35" s="7" t="s">
        <v>25</v>
      </c>
      <c r="D35" s="8" t="s">
        <v>132</v>
      </c>
      <c r="E35" s="7" t="s">
        <v>133</v>
      </c>
      <c r="F35" s="7" t="s">
        <v>17</v>
      </c>
      <c r="G35" s="7" t="s">
        <v>134</v>
      </c>
      <c r="H35" s="9" t="n">
        <v>0.1</v>
      </c>
      <c r="I35" s="10" t="n">
        <v>0.2</v>
      </c>
    </row>
    <row r="36" customFormat="false" ht="15.75" hidden="false" customHeight="false" outlineLevel="0" collapsed="false">
      <c r="A36" s="7" t="n">
        <v>5</v>
      </c>
      <c r="B36" s="7" t="s">
        <v>135</v>
      </c>
      <c r="C36" s="7" t="s">
        <v>25</v>
      </c>
      <c r="D36" s="8" t="s">
        <v>136</v>
      </c>
      <c r="E36" s="7" t="s">
        <v>137</v>
      </c>
      <c r="F36" s="7" t="s">
        <v>17</v>
      </c>
      <c r="G36" s="7" t="s">
        <v>138</v>
      </c>
      <c r="H36" s="9" t="n">
        <v>0.1</v>
      </c>
      <c r="I36" s="10" t="n">
        <v>0.5</v>
      </c>
    </row>
    <row r="37" customFormat="false" ht="15.75" hidden="false" customHeight="false" outlineLevel="0" collapsed="false">
      <c r="A37" s="7" t="n">
        <v>1</v>
      </c>
      <c r="B37" s="7" t="s">
        <v>139</v>
      </c>
      <c r="C37" s="7" t="s">
        <v>140</v>
      </c>
      <c r="D37" s="8" t="s">
        <v>141</v>
      </c>
      <c r="E37" s="7" t="s">
        <v>142</v>
      </c>
      <c r="F37" s="7" t="s">
        <v>17</v>
      </c>
      <c r="G37" s="7" t="s">
        <v>143</v>
      </c>
      <c r="H37" s="9" t="n">
        <v>1.88</v>
      </c>
      <c r="I37" s="10" t="n">
        <v>1.88</v>
      </c>
    </row>
    <row r="38" customFormat="false" ht="15.75" hidden="false" customHeight="false" outlineLevel="0" collapsed="false">
      <c r="A38" s="7" t="n">
        <v>1</v>
      </c>
      <c r="B38" s="7" t="s">
        <v>144</v>
      </c>
      <c r="C38" s="7" t="s">
        <v>140</v>
      </c>
      <c r="D38" s="8" t="s">
        <v>145</v>
      </c>
      <c r="E38" s="7" t="s">
        <v>146</v>
      </c>
      <c r="F38" s="7" t="s">
        <v>17</v>
      </c>
      <c r="G38" s="7" t="s">
        <v>147</v>
      </c>
      <c r="H38" s="9" t="n">
        <v>4.73</v>
      </c>
      <c r="I38" s="10" t="n">
        <v>4.73</v>
      </c>
    </row>
    <row r="39" customFormat="false" ht="15.75" hidden="false" customHeight="false" outlineLevel="0" collapsed="false">
      <c r="A39" s="7" t="n">
        <v>1</v>
      </c>
      <c r="B39" s="7" t="s">
        <v>148</v>
      </c>
      <c r="C39" s="7" t="s">
        <v>149</v>
      </c>
      <c r="D39" s="8" t="s">
        <v>150</v>
      </c>
      <c r="E39" s="7" t="s">
        <v>151</v>
      </c>
      <c r="F39" s="7" t="s">
        <v>17</v>
      </c>
      <c r="G39" s="7" t="s">
        <v>152</v>
      </c>
      <c r="H39" s="9" t="n">
        <v>5.59</v>
      </c>
      <c r="I39" s="10" t="n">
        <v>5.59</v>
      </c>
    </row>
    <row r="40" customFormat="false" ht="15.75" hidden="false" customHeight="false" outlineLevel="0" collapsed="false">
      <c r="A40" s="7" t="n">
        <v>1</v>
      </c>
      <c r="B40" s="7" t="s">
        <v>153</v>
      </c>
      <c r="C40" s="7" t="s">
        <v>154</v>
      </c>
      <c r="D40" s="8" t="n">
        <v>317990829</v>
      </c>
      <c r="E40" s="7" t="s">
        <v>155</v>
      </c>
      <c r="F40" s="7" t="s">
        <v>17</v>
      </c>
      <c r="G40" s="7" t="s">
        <v>156</v>
      </c>
      <c r="H40" s="9" t="n">
        <v>7.68</v>
      </c>
      <c r="I40" s="10" t="n">
        <v>7.68</v>
      </c>
    </row>
    <row r="41" customFormat="false" ht="15.75" hidden="false" customHeight="false" outlineLevel="0" collapsed="false">
      <c r="A41" s="7" t="n">
        <v>1</v>
      </c>
      <c r="B41" s="7" t="s">
        <v>157</v>
      </c>
      <c r="C41" s="7" t="s">
        <v>158</v>
      </c>
      <c r="D41" s="8" t="s">
        <v>159</v>
      </c>
      <c r="E41" s="7" t="s">
        <v>160</v>
      </c>
      <c r="F41" s="7" t="s">
        <v>17</v>
      </c>
      <c r="G41" s="7" t="s">
        <v>161</v>
      </c>
      <c r="H41" s="9" t="n">
        <v>0.53</v>
      </c>
      <c r="I41" s="10" t="n">
        <v>0.53</v>
      </c>
    </row>
    <row r="42" customFormat="false" ht="15.75" hidden="false" customHeight="false" outlineLevel="0" collapsed="false">
      <c r="A42" s="7" t="n">
        <v>1</v>
      </c>
      <c r="B42" s="7" t="s">
        <v>162</v>
      </c>
      <c r="C42" s="7" t="s">
        <v>163</v>
      </c>
      <c r="D42" s="8" t="s">
        <v>164</v>
      </c>
      <c r="E42" s="7" t="s">
        <v>165</v>
      </c>
      <c r="F42" s="7" t="s">
        <v>17</v>
      </c>
      <c r="G42" s="7" t="s">
        <v>166</v>
      </c>
      <c r="H42" s="9" t="n">
        <v>0.51</v>
      </c>
      <c r="I42" s="10" t="n">
        <v>0.51</v>
      </c>
    </row>
    <row r="43" customFormat="false" ht="15.75" hidden="false" customHeight="false" outlineLevel="0" collapsed="false">
      <c r="A43" s="7" t="n">
        <v>1</v>
      </c>
      <c r="B43" s="7" t="s">
        <v>167</v>
      </c>
      <c r="C43" s="7" t="s">
        <v>140</v>
      </c>
      <c r="D43" s="8" t="s">
        <v>168</v>
      </c>
      <c r="E43" s="7" t="s">
        <v>169</v>
      </c>
      <c r="F43" s="7" t="s">
        <v>17</v>
      </c>
      <c r="G43" s="7" t="s">
        <v>170</v>
      </c>
      <c r="H43" s="9" t="n">
        <v>0.9</v>
      </c>
      <c r="I43" s="10" t="n">
        <v>0.9</v>
      </c>
    </row>
    <row r="44" customFormat="false" ht="15.75" hidden="false" customHeight="false" outlineLevel="0" collapsed="false">
      <c r="A44" s="7" t="n">
        <v>1</v>
      </c>
      <c r="B44" s="7" t="s">
        <v>171</v>
      </c>
      <c r="C44" s="7" t="s">
        <v>140</v>
      </c>
      <c r="D44" s="8" t="s">
        <v>172</v>
      </c>
      <c r="E44" s="7" t="s">
        <v>173</v>
      </c>
      <c r="F44" s="7" t="s">
        <v>17</v>
      </c>
      <c r="G44" s="7" t="s">
        <v>174</v>
      </c>
      <c r="H44" s="9" t="n">
        <v>2.44</v>
      </c>
      <c r="I44" s="10" t="n">
        <v>2.44</v>
      </c>
    </row>
    <row r="45" customFormat="false" ht="15.75" hidden="false" customHeight="false" outlineLevel="0" collapsed="false">
      <c r="A45" s="7" t="n">
        <v>1</v>
      </c>
      <c r="B45" s="7" t="s">
        <v>175</v>
      </c>
      <c r="C45" s="7" t="s">
        <v>163</v>
      </c>
      <c r="D45" s="8" t="s">
        <v>176</v>
      </c>
      <c r="E45" s="7" t="s">
        <v>177</v>
      </c>
      <c r="F45" s="7" t="s">
        <v>17</v>
      </c>
      <c r="G45" s="7" t="s">
        <v>178</v>
      </c>
      <c r="H45" s="9" t="n">
        <v>1.14</v>
      </c>
      <c r="I45" s="10" t="n">
        <v>1.14</v>
      </c>
    </row>
    <row r="46" customFormat="false" ht="15.75" hidden="false" customHeight="false" outlineLevel="0" collapsed="false">
      <c r="H46" s="11" t="s">
        <v>179</v>
      </c>
      <c r="I46" s="12" t="n">
        <f aca="false">SUM(I7:I45)</f>
        <v>42.66</v>
      </c>
    </row>
    <row r="48" customFormat="false" ht="15.75" hidden="false" customHeight="false" outlineLevel="0" collapsed="false">
      <c r="A48" s="13" t="s">
        <v>180</v>
      </c>
      <c r="B48" s="1"/>
      <c r="C48" s="1"/>
      <c r="D48" s="1"/>
      <c r="E48" s="1"/>
      <c r="F48" s="1"/>
      <c r="G48" s="1"/>
      <c r="H48" s="2"/>
      <c r="I48" s="2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4"/>
      <c r="I49" s="4"/>
    </row>
    <row r="50" customFormat="false" ht="15.75" hidden="false" customHeight="false" outlineLevel="0" collapsed="false">
      <c r="A50" s="14" t="s">
        <v>181</v>
      </c>
      <c r="B50" s="14" t="s">
        <v>182</v>
      </c>
      <c r="C50" s="3"/>
      <c r="D50" s="3"/>
      <c r="E50" s="3"/>
      <c r="F50" s="3"/>
      <c r="G50" s="3"/>
      <c r="H50" s="4"/>
      <c r="I50" s="4"/>
    </row>
    <row r="51" customFormat="false" ht="15.75" hidden="false" customHeight="false" outlineLevel="0" collapsed="false">
      <c r="A51" s="3" t="s">
        <v>183</v>
      </c>
      <c r="B51" s="15" t="n">
        <v>45975</v>
      </c>
      <c r="C51" s="3"/>
      <c r="D51" s="3"/>
      <c r="E51" s="3"/>
      <c r="F51" s="3"/>
      <c r="G51" s="3"/>
      <c r="H51" s="4"/>
      <c r="I51" s="4"/>
    </row>
    <row r="52" customFormat="false" ht="15.75" hidden="false" customHeight="false" outlineLevel="0" collapsed="false">
      <c r="A52" s="3"/>
      <c r="B52" s="15"/>
      <c r="C52" s="3"/>
      <c r="D52" s="3"/>
      <c r="E52" s="3"/>
      <c r="F52" s="3"/>
      <c r="G52" s="3"/>
      <c r="H52" s="4"/>
      <c r="I52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2025-11-14T14:25:19Z</dcterms:modified>
  <cp:revision>1</cp:revision>
  <dc:subject/>
  <dc:title/>
</cp:coreProperties>
</file>